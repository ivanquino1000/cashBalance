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nn juan 2\Desktop\"/>
    </mc:Choice>
  </mc:AlternateContent>
  <xr:revisionPtr revIDLastSave="0" documentId="13_ncr:1_{833537CA-7D88-4DD0-B296-7ECC1A735A5D}" xr6:coauthVersionLast="47" xr6:coauthVersionMax="47" xr10:uidLastSave="{00000000-0000-0000-0000-000000000000}"/>
  <bookViews>
    <workbookView xWindow="-120" yWindow="-120" windowWidth="29040" windowHeight="15840" xr2:uid="{55E938EB-641F-4947-B118-483D03F096F7}"/>
  </bookViews>
  <sheets>
    <sheet name="MainSheet" sheetId="1" r:id="rId1"/>
    <sheet name="Hoja2" sheetId="2" r:id="rId2"/>
  </sheets>
  <functionGroups builtInGroupCount="19"/>
  <definedNames>
    <definedName name="_xlnm.Print_Area" localSheetId="1">Hoja2!$A$1:$E$34</definedName>
    <definedName name="solver_adj" localSheetId="0" hidden="1">MainSheet!$H$10:$H$20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MainSheet!$H$10:$H$20</definedName>
    <definedName name="solver_lhs2" localSheetId="0" hidden="1">MainSheet!$H$10:$H$20</definedName>
    <definedName name="solver_lhs3" localSheetId="0" hidden="1">MainSheet!$I$21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MainSheet!$K$21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4</definedName>
    <definedName name="solver_rel3" localSheetId="0" hidden="1">2</definedName>
    <definedName name="solver_rhs1" localSheetId="0" hidden="1">MainSheet!$F$10:$F$20</definedName>
    <definedName name="solver_rhs2" localSheetId="0" hidden="1">"entero"</definedName>
    <definedName name="solver_rhs3" localSheetId="0" hidden="1">MainSheet!$G$6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N15" i="1"/>
  <c r="N16" i="1"/>
  <c r="G6" i="1"/>
  <c r="C6" i="2" l="1"/>
  <c r="H21" i="1"/>
  <c r="I10" i="1" a="1"/>
  <c r="I10" i="1" s="1"/>
  <c r="K10" i="1" s="1"/>
  <c r="G10" i="1" a="1"/>
  <c r="G10" i="1" s="1"/>
  <c r="L11" i="1"/>
  <c r="N11" i="1" s="1"/>
  <c r="L12" i="1"/>
  <c r="N12" i="1" s="1"/>
  <c r="L14" i="1"/>
  <c r="N14" i="1" s="1"/>
  <c r="L17" i="1"/>
  <c r="N17" i="1" s="1"/>
  <c r="L18" i="1"/>
  <c r="N18" i="1" s="1"/>
  <c r="L19" i="1"/>
  <c r="N19" i="1" s="1"/>
  <c r="L20" i="1"/>
  <c r="N20" i="1" s="1"/>
  <c r="L10" i="1"/>
  <c r="N10" i="1" s="1"/>
  <c r="M10" i="1" l="1" a="1"/>
  <c r="M11" i="1" s="1"/>
  <c r="I16" i="1"/>
  <c r="K16" i="1" s="1"/>
  <c r="I14" i="1"/>
  <c r="K14" i="1" s="1"/>
  <c r="I17" i="1"/>
  <c r="K17" i="1" s="1"/>
  <c r="I15" i="1"/>
  <c r="K15" i="1" s="1"/>
  <c r="I13" i="1"/>
  <c r="K13" i="1" s="1"/>
  <c r="I20" i="1"/>
  <c r="K20" i="1" s="1"/>
  <c r="I12" i="1"/>
  <c r="K12" i="1" s="1"/>
  <c r="I19" i="1"/>
  <c r="K19" i="1" s="1"/>
  <c r="I11" i="1"/>
  <c r="K11" i="1" s="1"/>
  <c r="I18" i="1"/>
  <c r="K18" i="1" s="1"/>
  <c r="G16" i="1"/>
  <c r="G15" i="1"/>
  <c r="G14" i="1"/>
  <c r="G13" i="1"/>
  <c r="G20" i="1"/>
  <c r="G12" i="1"/>
  <c r="G17" i="1"/>
  <c r="G19" i="1"/>
  <c r="G11" i="1"/>
  <c r="G18" i="1"/>
  <c r="K21" i="1" l="1"/>
  <c r="M14" i="1"/>
  <c r="M20" i="1"/>
  <c r="M18" i="1"/>
  <c r="M19" i="1"/>
  <c r="M15" i="1"/>
  <c r="M17" i="1"/>
  <c r="M10" i="1"/>
  <c r="M13" i="1"/>
  <c r="M12" i="1"/>
  <c r="M16" i="1"/>
  <c r="I21" i="1"/>
  <c r="G21" i="1"/>
  <c r="M21" i="1" l="1"/>
</calcChain>
</file>

<file path=xl/sharedStrings.xml><?xml version="1.0" encoding="utf-8"?>
<sst xmlns="http://schemas.openxmlformats.org/spreadsheetml/2006/main" count="14" uniqueCount="11">
  <si>
    <t>Weights</t>
  </si>
  <si>
    <t>Sencillo</t>
  </si>
  <si>
    <t>Monedas Encintadas</t>
  </si>
  <si>
    <t>Sencillo Restante (x calcular)</t>
  </si>
  <si>
    <t>Indicaciones</t>
  </si>
  <si>
    <t>Sub Total</t>
  </si>
  <si>
    <t xml:space="preserve">Venta </t>
  </si>
  <si>
    <t>Weights Valued</t>
  </si>
  <si>
    <t>SAN JUAN 2</t>
  </si>
  <si>
    <t>Denominacion</t>
  </si>
  <si>
    <t>Caja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</si>
</sst>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S/&quot;\ * #,##0.00_-;\-&quot;S/&quot;\ * #,##0.00_-;_-&quot;S/&quot;\ * &quot;-&quot;??_-;_-@_-"/>
    <numFmt numFmtId="164" formatCode="[$-F800]dddd\,\ mmmm\ dd\,\ yyyy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48"/>
      <color theme="1"/>
      <name val="Bahnschrif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right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Fill="1" applyBorder="1"/>
    <xf numFmtId="44" fontId="1" fillId="0" borderId="1" xfId="0" applyNumberFormat="1" applyFont="1" applyBorder="1"/>
    <xf numFmtId="164" fontId="0" fillId="0" borderId="0" xfId="0" applyNumberFormat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theme="4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317500</xdr:rowOff>
    </xdr:from>
    <xdr:to>
      <xdr:col>3</xdr:col>
      <xdr:colOff>0</xdr:colOff>
      <xdr:row>11</xdr:row>
      <xdr:rowOff>0</xdr:rowOff>
    </xdr:to>
    <xdr:sp macro="ThisWorkbook.ClearInputTable" textlink="">
      <xdr:nvSpPr>
        <xdr:cNvPr id="2" name="UIMacroButton1">
          <a:extLst>
            <a:ext uri="{FF2B5EF4-FFF2-40B4-BE49-F238E27FC236}">
              <a16:creationId xmlns:a16="http://schemas.microsoft.com/office/drawing/2014/main" id="{71251732-0EEE-5FF5-0391-D4E27E38C5DE}"/>
            </a:ext>
          </a:extLst>
        </xdr:cNvPr>
        <xdr:cNvSpPr/>
      </xdr:nvSpPr>
      <xdr:spPr>
        <a:xfrm>
          <a:off x="254000" y="1460500"/>
          <a:ext cx="2032000" cy="1016000"/>
        </a:xfrm>
        <a:prstGeom prst="rect">
          <a:avLst/>
        </a:prstGeom>
        <a:solidFill>
          <a:srgbClr val="7C81E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rial Black" panose="020B0A04020102020204" pitchFamily="34" charset="0"/>
            </a:rPr>
            <a:t>LIMPIAR LISTA</a:t>
          </a:r>
        </a:p>
      </xdr:txBody>
    </xdr:sp>
    <xdr:clientData/>
  </xdr:twoCellAnchor>
  <xdr:twoCellAnchor>
    <xdr:from>
      <xdr:col>0</xdr:col>
      <xdr:colOff>254000</xdr:colOff>
      <xdr:row>12</xdr:row>
      <xdr:rowOff>0</xdr:rowOff>
    </xdr:from>
    <xdr:to>
      <xdr:col>3</xdr:col>
      <xdr:colOff>0</xdr:colOff>
      <xdr:row>17</xdr:row>
      <xdr:rowOff>63500</xdr:rowOff>
    </xdr:to>
    <xdr:sp macro="ThisWorkbook.caculateSolver" textlink="">
      <xdr:nvSpPr>
        <xdr:cNvPr id="3" name="UIMacroButton2">
          <a:extLst>
            <a:ext uri="{FF2B5EF4-FFF2-40B4-BE49-F238E27FC236}">
              <a16:creationId xmlns:a16="http://schemas.microsoft.com/office/drawing/2014/main" id="{7DA41C8C-9EC8-1AAC-1B1B-6444A7FB7528}"/>
            </a:ext>
          </a:extLst>
        </xdr:cNvPr>
        <xdr:cNvSpPr/>
      </xdr:nvSpPr>
      <xdr:spPr>
        <a:xfrm>
          <a:off x="254000" y="2667000"/>
          <a:ext cx="2032000" cy="1016000"/>
        </a:xfrm>
        <a:prstGeom prst="rect">
          <a:avLst/>
        </a:prstGeom>
        <a:solidFill>
          <a:srgbClr val="7C81E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rial Black" panose="020B0A04020102020204" pitchFamily="34" charset="0"/>
            </a:rPr>
            <a:t>CALCULAR SENCILLO</a:t>
          </a:r>
        </a:p>
      </xdr:txBody>
    </xdr:sp>
    <xdr:clientData/>
  </xdr:twoCellAnchor>
  <xdr:twoCellAnchor>
    <xdr:from>
      <xdr:col>0</xdr:col>
      <xdr:colOff>254000</xdr:colOff>
      <xdr:row>18</xdr:row>
      <xdr:rowOff>63500</xdr:rowOff>
    </xdr:from>
    <xdr:to>
      <xdr:col>3</xdr:col>
      <xdr:colOff>0</xdr:colOff>
      <xdr:row>23</xdr:row>
      <xdr:rowOff>127000</xdr:rowOff>
    </xdr:to>
    <xdr:sp macro="ThisWorkbook.RestartApp" textlink="">
      <xdr:nvSpPr>
        <xdr:cNvPr id="4" name="UIMacroButton3">
          <a:extLst>
            <a:ext uri="{FF2B5EF4-FFF2-40B4-BE49-F238E27FC236}">
              <a16:creationId xmlns:a16="http://schemas.microsoft.com/office/drawing/2014/main" id="{1B2A7718-1DE0-C1F9-0CC9-6BF004C2B7D7}"/>
            </a:ext>
          </a:extLst>
        </xdr:cNvPr>
        <xdr:cNvSpPr/>
      </xdr:nvSpPr>
      <xdr:spPr>
        <a:xfrm>
          <a:off x="254000" y="3873500"/>
          <a:ext cx="2032000" cy="1016000"/>
        </a:xfrm>
        <a:prstGeom prst="rect">
          <a:avLst/>
        </a:prstGeom>
        <a:solidFill>
          <a:srgbClr val="7C81E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rial Black" panose="020B0A04020102020204" pitchFamily="34" charset="0"/>
            </a:rPr>
            <a:t>REINICIAR APP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51BEA-4D31-4C3D-AE40-843A80154EEA}">
  <sheetPr codeName="MainSheet"/>
  <dimension ref="E4:N26"/>
  <sheetViews>
    <sheetView tabSelected="1" zoomScale="120" zoomScaleNormal="120" workbookViewId="0">
      <selection activeCell="J6" sqref="J6"/>
    </sheetView>
  </sheetViews>
  <sheetFormatPr baseColWidth="10" defaultRowHeight="15" x14ac:dyDescent="0.25"/>
  <cols>
    <col min="5" max="5" width="14.140625" bestFit="1" customWidth="1"/>
    <col min="6" max="6" width="16.28515625" bestFit="1" customWidth="1"/>
    <col min="7" max="7" width="13.42578125" bestFit="1" customWidth="1"/>
    <col min="8" max="8" width="12.42578125" bestFit="1" customWidth="1"/>
    <col min="9" max="9" width="20" bestFit="1" customWidth="1"/>
    <col min="10" max="11" width="20" customWidth="1"/>
    <col min="13" max="13" width="13.42578125" bestFit="1" customWidth="1"/>
    <col min="14" max="14" width="19.140625" bestFit="1" customWidth="1"/>
  </cols>
  <sheetData>
    <row r="4" spans="5:14" x14ac:dyDescent="0.25">
      <c r="F4" s="5" t="s">
        <v>1</v>
      </c>
      <c r="G4" s="1">
        <v>300</v>
      </c>
    </row>
    <row r="5" spans="5:14" ht="30" x14ac:dyDescent="0.25">
      <c r="F5" s="5" t="s">
        <v>2</v>
      </c>
      <c r="G5" s="1">
        <v>50</v>
      </c>
    </row>
    <row r="6" spans="5:14" ht="30" x14ac:dyDescent="0.25">
      <c r="F6" s="5" t="s">
        <v>3</v>
      </c>
      <c r="G6" s="1">
        <f>G4-G5</f>
        <v>250</v>
      </c>
    </row>
    <row r="9" spans="5:14" x14ac:dyDescent="0.25">
      <c r="E9" s="6" t="s">
        <v>9</v>
      </c>
      <c r="F9" s="6" t="s">
        <v>10</v>
      </c>
      <c r="G9" s="6" t="s">
        <v>5</v>
      </c>
      <c r="H9" s="7" t="s">
        <v>1</v>
      </c>
      <c r="I9" s="6" t="s">
        <v>5</v>
      </c>
      <c r="J9" s="6" t="s">
        <v>0</v>
      </c>
      <c r="K9" s="6" t="s">
        <v>7</v>
      </c>
      <c r="L9" s="7" t="s">
        <v>6</v>
      </c>
      <c r="M9" s="6" t="s">
        <v>5</v>
      </c>
      <c r="N9" s="8" t="s">
        <v>4</v>
      </c>
    </row>
    <row r="10" spans="5:14" x14ac:dyDescent="0.25">
      <c r="E10" s="9">
        <v>0.1</v>
      </c>
      <c r="F10" s="2"/>
      <c r="G10" s="3">
        <f t="array" ref="G10:G20">+E10:E20*F10:F20</f>
        <v>0</v>
      </c>
      <c r="H10" s="2">
        <v>21</v>
      </c>
      <c r="I10" s="3">
        <f t="array" ref="I10:I20">+E10:E20*H10:H20</f>
        <v>2.1</v>
      </c>
      <c r="J10" s="2">
        <v>111111</v>
      </c>
      <c r="K10" s="2">
        <f>+I10*J10</f>
        <v>233333.1</v>
      </c>
      <c r="L10" s="2">
        <f t="shared" ref="L10:L20" si="0">+F10-H10</f>
        <v>-21</v>
      </c>
      <c r="M10" s="3">
        <f t="array" ref="M10:M20">+E10:E20*L10:L20</f>
        <v>-2.1</v>
      </c>
      <c r="N10" t="str">
        <f>+IF( L10=0,"Dejar Todo de "&amp; E10,IF(  AND(L10&lt;&gt;F10),"Llevar "&amp;L10&amp;" unid de " &amp; E10,IF(F10=L10,"Llevar Todo de  "&amp; E10 &amp; " ("&amp; F10&amp;")" )))</f>
        <v>Llevar -21 unid de 0.1</v>
      </c>
    </row>
    <row r="11" spans="5:14" x14ac:dyDescent="0.25">
      <c r="E11" s="9">
        <v>0.2</v>
      </c>
      <c r="F11" s="2"/>
      <c r="G11" s="3">
        <v>0</v>
      </c>
      <c r="H11" s="2">
        <v>32</v>
      </c>
      <c r="I11" s="4">
        <v>6.4</v>
      </c>
      <c r="J11" s="2">
        <v>222222</v>
      </c>
      <c r="K11" s="2">
        <f t="shared" ref="K11:K20" si="1">+I11*J11</f>
        <v>1422220.8</v>
      </c>
      <c r="L11" s="2">
        <f t="shared" si="0"/>
        <v>-32</v>
      </c>
      <c r="M11" s="4">
        <v>-6.4</v>
      </c>
      <c r="N11" t="str">
        <f t="shared" ref="N11:N20" si="2">+IF( L11=0,"Dejar Todo de "&amp; E11,IF(  AND(L11&lt;&gt;F11),"Llevar "&amp;L11&amp;" unid de " &amp; E11,IF(F11=L11,"Llevar Todo de  "&amp; E11 &amp; " ("&amp; F11&amp;")" )))</f>
        <v>Llevar -32 unid de 0.2</v>
      </c>
    </row>
    <row r="12" spans="5:14" x14ac:dyDescent="0.25">
      <c r="E12" s="9">
        <v>0.5</v>
      </c>
      <c r="F12" s="2"/>
      <c r="G12" s="3">
        <v>0</v>
      </c>
      <c r="H12" s="2">
        <v>77</v>
      </c>
      <c r="I12" s="4">
        <v>38.5</v>
      </c>
      <c r="J12" s="2">
        <v>333333</v>
      </c>
      <c r="K12" s="2">
        <f t="shared" si="1"/>
        <v>12833320.5</v>
      </c>
      <c r="L12" s="2">
        <f t="shared" si="0"/>
        <v>-77</v>
      </c>
      <c r="M12" s="4">
        <v>-38.5</v>
      </c>
      <c r="N12" t="str">
        <f t="shared" si="2"/>
        <v>Llevar -77 unid de 0.5</v>
      </c>
    </row>
    <row r="13" spans="5:14" x14ac:dyDescent="0.25">
      <c r="E13" s="9">
        <v>1</v>
      </c>
      <c r="F13" s="2"/>
      <c r="G13" s="3">
        <v>0</v>
      </c>
      <c r="H13" s="2">
        <v>76</v>
      </c>
      <c r="I13" s="4">
        <v>76</v>
      </c>
      <c r="J13" s="2">
        <v>444444</v>
      </c>
      <c r="K13" s="2">
        <f t="shared" si="1"/>
        <v>33777744</v>
      </c>
      <c r="L13" s="2">
        <v>1</v>
      </c>
      <c r="M13" s="4">
        <v>1</v>
      </c>
      <c r="N13" t="str">
        <f t="shared" si="2"/>
        <v>Llevar 1 unid de 1</v>
      </c>
    </row>
    <row r="14" spans="5:14" x14ac:dyDescent="0.25">
      <c r="E14" s="9">
        <v>2</v>
      </c>
      <c r="F14" s="2"/>
      <c r="G14" s="3">
        <v>0</v>
      </c>
      <c r="H14" s="2">
        <v>76</v>
      </c>
      <c r="I14" s="4">
        <v>152</v>
      </c>
      <c r="J14" s="2">
        <v>555555</v>
      </c>
      <c r="K14" s="2">
        <f t="shared" si="1"/>
        <v>84444360</v>
      </c>
      <c r="L14" s="2">
        <f t="shared" si="0"/>
        <v>-76</v>
      </c>
      <c r="M14" s="4">
        <v>-152</v>
      </c>
      <c r="N14" t="str">
        <f t="shared" si="2"/>
        <v>Llevar -76 unid de 2</v>
      </c>
    </row>
    <row r="15" spans="5:14" x14ac:dyDescent="0.25">
      <c r="E15" s="9">
        <v>5</v>
      </c>
      <c r="F15" s="2"/>
      <c r="G15" s="3">
        <v>0</v>
      </c>
      <c r="H15" s="2">
        <v>1</v>
      </c>
      <c r="I15" s="4">
        <v>5</v>
      </c>
      <c r="J15" s="2">
        <v>666666</v>
      </c>
      <c r="K15" s="2">
        <f t="shared" si="1"/>
        <v>3333330</v>
      </c>
      <c r="L15" s="2">
        <v>1</v>
      </c>
      <c r="M15" s="4">
        <v>5</v>
      </c>
      <c r="N15" t="str">
        <f t="shared" si="2"/>
        <v>Llevar 1 unid de 5</v>
      </c>
    </row>
    <row r="16" spans="5:14" x14ac:dyDescent="0.25">
      <c r="E16" s="9">
        <v>10</v>
      </c>
      <c r="F16" s="2"/>
      <c r="G16" s="3">
        <v>0</v>
      </c>
      <c r="H16" s="2">
        <v>0</v>
      </c>
      <c r="I16" s="4">
        <v>0</v>
      </c>
      <c r="J16" s="2">
        <v>777777</v>
      </c>
      <c r="K16" s="2">
        <f t="shared" si="1"/>
        <v>0</v>
      </c>
      <c r="L16" s="2">
        <v>1</v>
      </c>
      <c r="M16" s="4">
        <v>10</v>
      </c>
      <c r="N16" t="str">
        <f t="shared" si="2"/>
        <v>Llevar 1 unid de 10</v>
      </c>
    </row>
    <row r="17" spans="5:14" x14ac:dyDescent="0.25">
      <c r="E17" s="9">
        <v>20</v>
      </c>
      <c r="F17" s="2"/>
      <c r="G17" s="3">
        <v>0</v>
      </c>
      <c r="H17" s="2">
        <v>0</v>
      </c>
      <c r="I17" s="4">
        <v>0</v>
      </c>
      <c r="J17" s="2">
        <v>888888</v>
      </c>
      <c r="K17" s="2">
        <f t="shared" si="1"/>
        <v>0</v>
      </c>
      <c r="L17" s="2">
        <f t="shared" si="0"/>
        <v>0</v>
      </c>
      <c r="M17" s="4">
        <v>0</v>
      </c>
      <c r="N17" t="str">
        <f t="shared" si="2"/>
        <v>Dejar Todo de 20</v>
      </c>
    </row>
    <row r="18" spans="5:14" x14ac:dyDescent="0.25">
      <c r="E18" s="9">
        <v>50</v>
      </c>
      <c r="F18" s="2"/>
      <c r="G18" s="3">
        <v>0</v>
      </c>
      <c r="H18" s="2">
        <v>0</v>
      </c>
      <c r="I18" s="4">
        <v>0</v>
      </c>
      <c r="J18" s="2">
        <v>999999</v>
      </c>
      <c r="K18" s="2">
        <f t="shared" si="1"/>
        <v>0</v>
      </c>
      <c r="L18" s="2">
        <f t="shared" si="0"/>
        <v>0</v>
      </c>
      <c r="M18" s="4">
        <v>0</v>
      </c>
      <c r="N18" t="str">
        <f t="shared" si="2"/>
        <v>Dejar Todo de 50</v>
      </c>
    </row>
    <row r="19" spans="5:14" x14ac:dyDescent="0.25">
      <c r="E19" s="9">
        <v>100</v>
      </c>
      <c r="F19" s="2"/>
      <c r="G19" s="3">
        <v>0</v>
      </c>
      <c r="H19" s="2">
        <v>0</v>
      </c>
      <c r="I19" s="4">
        <v>0</v>
      </c>
      <c r="J19" s="2">
        <v>1111110</v>
      </c>
      <c r="K19" s="2">
        <f t="shared" si="1"/>
        <v>0</v>
      </c>
      <c r="L19" s="2">
        <f t="shared" si="0"/>
        <v>0</v>
      </c>
      <c r="M19" s="4">
        <v>0</v>
      </c>
      <c r="N19" t="str">
        <f t="shared" si="2"/>
        <v>Dejar Todo de 100</v>
      </c>
    </row>
    <row r="20" spans="5:14" x14ac:dyDescent="0.25">
      <c r="E20" s="9">
        <v>200</v>
      </c>
      <c r="F20" s="2"/>
      <c r="G20" s="3">
        <v>0</v>
      </c>
      <c r="H20" s="2">
        <v>0</v>
      </c>
      <c r="I20" s="4">
        <v>0</v>
      </c>
      <c r="J20" s="2">
        <v>1222221</v>
      </c>
      <c r="K20" s="2">
        <f t="shared" si="1"/>
        <v>0</v>
      </c>
      <c r="L20" s="2">
        <f t="shared" si="0"/>
        <v>0</v>
      </c>
      <c r="M20" s="4">
        <v>0</v>
      </c>
      <c r="N20" t="str">
        <f t="shared" si="2"/>
        <v>Dejar Todo de 200</v>
      </c>
    </row>
    <row r="21" spans="5:14" x14ac:dyDescent="0.25">
      <c r="E21" s="1"/>
      <c r="F21" s="2"/>
      <c r="G21" s="3">
        <f>+SUM(G10:G20)</f>
        <v>0</v>
      </c>
      <c r="H21" s="2">
        <f>+SUM(H10:H20)</f>
        <v>283</v>
      </c>
      <c r="I21" s="4">
        <f>+SUM(I10:I20)</f>
        <v>280</v>
      </c>
      <c r="J21" s="3"/>
      <c r="K21" s="3">
        <f>+SUM(K10:K20)</f>
        <v>136044308.40000001</v>
      </c>
      <c r="M21" s="4">
        <f>+SUM(M10:M20)</f>
        <v>-183</v>
      </c>
    </row>
    <row r="26" spans="5:14" x14ac:dyDescent="0.25">
      <c r="H26" s="11"/>
    </row>
  </sheetData>
  <conditionalFormatting sqref="N10:N20">
    <cfRule type="containsText" dxfId="2" priority="2" operator="containsText" text="DEJAR">
      <formula>NOT(ISERROR(SEARCH("DEJAR",N10)))</formula>
    </cfRule>
    <cfRule type="containsText" dxfId="1" priority="3" operator="containsText" text="LLevar">
      <formula>NOT(ISERROR(SEARCH("LLevar",N10)))</formula>
    </cfRule>
    <cfRule type="containsText" dxfId="0" priority="1" operator="containsText" text="llevar Todo">
      <formula>NOT(ISERROR(SEARCH("llevar Todo",N10)))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F15-AF61-463A-88D6-7F5063711387}">
  <sheetPr codeName="Hoja2">
    <pageSetUpPr fitToPage="1"/>
  </sheetPr>
  <dimension ref="A2:E6"/>
  <sheetViews>
    <sheetView view="pageBreakPreview" zoomScale="205" zoomScaleNormal="100" zoomScaleSheetLayoutView="205" workbookViewId="0">
      <selection activeCell="C11" sqref="C11"/>
    </sheetView>
  </sheetViews>
  <sheetFormatPr baseColWidth="10" defaultRowHeight="15" x14ac:dyDescent="0.25"/>
  <cols>
    <col min="3" max="3" width="25.28515625" bestFit="1" customWidth="1"/>
  </cols>
  <sheetData>
    <row r="2" spans="1:5" x14ac:dyDescent="0.25">
      <c r="A2" s="12" t="s">
        <v>8</v>
      </c>
      <c r="B2" s="12"/>
      <c r="C2" s="12"/>
      <c r="D2" s="12"/>
      <c r="E2" s="12"/>
    </row>
    <row r="3" spans="1:5" x14ac:dyDescent="0.25">
      <c r="A3" s="12"/>
      <c r="B3" s="12"/>
      <c r="C3" s="12"/>
      <c r="D3" s="12"/>
      <c r="E3" s="12"/>
    </row>
    <row r="4" spans="1:5" x14ac:dyDescent="0.25">
      <c r="A4" s="12"/>
      <c r="B4" s="12"/>
      <c r="C4" s="12"/>
      <c r="D4" s="12"/>
      <c r="E4" s="12"/>
    </row>
    <row r="5" spans="1:5" x14ac:dyDescent="0.25">
      <c r="A5" s="12"/>
      <c r="B5" s="12"/>
      <c r="C5" s="12"/>
      <c r="D5" s="12"/>
      <c r="E5" s="12"/>
    </row>
    <row r="6" spans="1:5" x14ac:dyDescent="0.25">
      <c r="C6" s="10">
        <f ca="1">+TODAY()</f>
        <v>45735</v>
      </c>
    </row>
  </sheetData>
  <mergeCells count="1">
    <mergeCell ref="A2:E5"/>
  </mergeCells>
  <pageMargins left="0.25" right="0.25" top="0.75" bottom="0.75" header="0.3" footer="0.3"/>
  <pageSetup paperSize="258" scale="1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MainSheet</vt:lpstr>
      <vt:lpstr>Hoja2</vt:lpstr>
      <vt:lpstr>Hoja2!Área_de_impresión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 juan 2</dc:creator>
  <cp:lastModifiedBy>sann juan 2</cp:lastModifiedBy>
  <cp:lastPrinted>2025-03-14T01:56:19Z</cp:lastPrinted>
  <dcterms:created xsi:type="dcterms:W3CDTF">2025-03-14T00:47:10Z</dcterms:created>
  <dcterms:modified xsi:type="dcterms:W3CDTF">2025-03-20T02:34:22Z</dcterms:modified>
</cp:coreProperties>
</file>